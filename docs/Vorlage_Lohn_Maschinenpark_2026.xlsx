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hngruppen" sheetId="1" state="visible" r:id="rId1"/>
    <sheet name="Maschinenpark" sheetId="2" state="visible" r:id="rId2"/>
    <sheet name="Mittellohn" sheetId="3" state="visible" r:id="rId3"/>
    <sheet name="Zuschlä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"/>
    <numFmt numFmtId="165" formatCode="0 &quot;%&quot;"/>
    <numFmt numFmtId="166" formatCode="0.0 &quot;%&quot;"/>
    <numFmt numFmtId="167" formatCode="0.0 %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10"/>
    </font>
    <font>
      <b val="1"/>
      <color rgb="00FFFFFF"/>
      <sz val="11"/>
    </font>
    <font>
      <b val="1"/>
    </font>
    <font>
      <b val="1"/>
      <color rgb="001F3A5F"/>
    </font>
    <font/>
    <font>
      <b val="1"/>
      <sz val="12"/>
    </font>
    <font>
      <b val="1"/>
      <color rgb="00FFFFFF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1" fontId="7" fillId="5" borderId="1" pivotButton="0" quotePrefix="0" xfId="0"/>
    <xf numFmtId="0" fontId="0" fillId="5" borderId="1" pivotButton="0" quotePrefix="0" xfId="0"/>
    <xf numFmtId="164" fontId="8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67" fontId="0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164" fontId="9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 ht="30" customHeight="1">
      <c r="A1" s="1" t="inlineStr">
        <is>
          <t>LOHNGRUPPEN BAUHAUPTGEWERBE</t>
        </is>
      </c>
    </row>
    <row r="2">
      <c r="A2" s="2" t="inlineStr">
        <is>
          <t>Richtwerte Tarif West, Stand 2026 — bitte vor Live-Einsatz aktuellen ZDB-Tarif gegenchecken</t>
        </is>
      </c>
    </row>
    <row r="4" ht="32" customHeight="1">
      <c r="A4" s="3" t="inlineStr">
        <is>
          <t>Lohngruppe</t>
        </is>
      </c>
      <c r="B4" s="3" t="inlineStr">
        <is>
          <t>Bezeichnung</t>
        </is>
      </c>
      <c r="C4" s="3" t="inlineStr">
        <is>
          <t>Brutto €/Std</t>
        </is>
      </c>
      <c r="D4" s="3" t="inlineStr">
        <is>
          <t>Nebenkosten-Faktor</t>
        </is>
      </c>
      <c r="E4" s="3" t="inlineStr">
        <is>
          <t>Vollkosten €/Std</t>
        </is>
      </c>
      <c r="F4" s="3" t="inlineStr">
        <is>
          <t>Anteil Crew %</t>
        </is>
      </c>
    </row>
    <row r="5">
      <c r="A5" s="4" t="inlineStr">
        <is>
          <t>Azubi 1. Lj</t>
        </is>
      </c>
      <c r="B5" s="5" t="inlineStr">
        <is>
          <t>Lehrling 1. Jahr</t>
        </is>
      </c>
      <c r="C5" s="6" t="n">
        <v>5.5</v>
      </c>
      <c r="D5" s="7" t="n">
        <v>1.85</v>
      </c>
      <c r="E5" s="8">
        <f>C5*D5</f>
        <v/>
      </c>
      <c r="F5" s="9" t="inlineStr"/>
    </row>
    <row r="6">
      <c r="A6" s="4" t="inlineStr">
        <is>
          <t>Azubi 2. Lj</t>
        </is>
      </c>
      <c r="B6" s="5" t="inlineStr">
        <is>
          <t>Lehrling 2. Jahr</t>
        </is>
      </c>
      <c r="C6" s="6" t="n">
        <v>7</v>
      </c>
      <c r="D6" s="7" t="n">
        <v>1.85</v>
      </c>
      <c r="E6" s="8">
        <f>C6*D6</f>
        <v/>
      </c>
      <c r="F6" s="9" t="inlineStr"/>
    </row>
    <row r="7">
      <c r="A7" s="4" t="inlineStr">
        <is>
          <t>Azubi 3. Lj</t>
        </is>
      </c>
      <c r="B7" s="5" t="inlineStr">
        <is>
          <t>Lehrling 3. Jahr</t>
        </is>
      </c>
      <c r="C7" s="6" t="n">
        <v>8.5</v>
      </c>
      <c r="D7" s="7" t="n">
        <v>1.85</v>
      </c>
      <c r="E7" s="8">
        <f>C7*D7</f>
        <v/>
      </c>
      <c r="F7" s="9" t="inlineStr"/>
    </row>
    <row r="8">
      <c r="A8" s="4" t="inlineStr">
        <is>
          <t>LG 1</t>
        </is>
      </c>
      <c r="B8" s="5" t="inlineStr">
        <is>
          <t>Werker / Hilfsarbeiter</t>
        </is>
      </c>
      <c r="C8" s="6" t="n">
        <v>17</v>
      </c>
      <c r="D8" s="7" t="n">
        <v>1.85</v>
      </c>
      <c r="E8" s="8">
        <f>C8*D8</f>
        <v/>
      </c>
      <c r="F8" s="9" t="inlineStr"/>
    </row>
    <row r="9">
      <c r="A9" s="4" t="inlineStr">
        <is>
          <t>LG 2</t>
        </is>
      </c>
      <c r="B9" s="5" t="inlineStr">
        <is>
          <t>Bauwerker (angelernt)</t>
        </is>
      </c>
      <c r="C9" s="6" t="n">
        <v>18</v>
      </c>
      <c r="D9" s="7" t="n">
        <v>1.85</v>
      </c>
      <c r="E9" s="8">
        <f>C9*D9</f>
        <v/>
      </c>
      <c r="F9" s="9" t="inlineStr"/>
    </row>
    <row r="10">
      <c r="A10" s="4" t="inlineStr">
        <is>
          <t>LG 3</t>
        </is>
      </c>
      <c r="B10" s="5" t="inlineStr">
        <is>
          <t>Fachwerker / Spezialhelfer</t>
        </is>
      </c>
      <c r="C10" s="6" t="n">
        <v>19</v>
      </c>
      <c r="D10" s="7" t="n">
        <v>1.85</v>
      </c>
      <c r="E10" s="8">
        <f>C10*D10</f>
        <v/>
      </c>
      <c r="F10" s="9" t="inlineStr"/>
    </row>
    <row r="11">
      <c r="A11" s="4" t="inlineStr">
        <is>
          <t>LG 4</t>
        </is>
      </c>
      <c r="B11" s="5" t="inlineStr">
        <is>
          <t>Facharbeiter (Maurer / Zimmerer / Beton-Stahl)</t>
        </is>
      </c>
      <c r="C11" s="6" t="n">
        <v>21</v>
      </c>
      <c r="D11" s="7" t="n">
        <v>1.85</v>
      </c>
      <c r="E11" s="8">
        <f>C11*D11</f>
        <v/>
      </c>
      <c r="F11" s="9" t="inlineStr"/>
    </row>
    <row r="12">
      <c r="A12" s="4" t="inlineStr">
        <is>
          <t>LG 5</t>
        </is>
      </c>
      <c r="B12" s="5" t="inlineStr">
        <is>
          <t>Vorarbeiter / Werkpolier</t>
        </is>
      </c>
      <c r="C12" s="6" t="n">
        <v>25</v>
      </c>
      <c r="D12" s="7" t="n">
        <v>1.85</v>
      </c>
      <c r="E12" s="8">
        <f>C12*D12</f>
        <v/>
      </c>
      <c r="F12" s="9" t="inlineStr"/>
    </row>
    <row r="13">
      <c r="A13" s="4" t="inlineStr">
        <is>
          <t>LG 6</t>
        </is>
      </c>
      <c r="B13" s="5" t="inlineStr">
        <is>
          <t>Geprüfter Polier</t>
        </is>
      </c>
      <c r="C13" s="6" t="n">
        <v>28.5</v>
      </c>
      <c r="D13" s="7" t="n">
        <v>1.85</v>
      </c>
      <c r="E13" s="8">
        <f>C13*D13</f>
        <v/>
      </c>
      <c r="F13" s="9" t="inlineStr"/>
    </row>
    <row r="14">
      <c r="A14" s="4" t="inlineStr">
        <is>
          <t>AT</t>
        </is>
      </c>
      <c r="B14" s="5" t="inlineStr">
        <is>
          <t>Bauleiter / Meister (außertariflich)</t>
        </is>
      </c>
      <c r="C14" s="6" t="n">
        <v>35</v>
      </c>
      <c r="D14" s="7" t="n">
        <v>1.85</v>
      </c>
      <c r="E14" s="8">
        <f>C14*D14</f>
        <v/>
      </c>
      <c r="F14" s="9" t="inlineStr"/>
    </row>
    <row r="16">
      <c r="A16" s="10" t="inlineStr">
        <is>
          <t>Lohnnebenkosten-Faktor (1,7-2,0) = AG-Sozialabgaben + SOKA-BAU + BG-Beitrag + Urlaubskasse + Lohnfortzahlung.</t>
        </is>
      </c>
    </row>
    <row r="17">
      <c r="A17" s="10" t="inlineStr">
        <is>
          <t>Firmen-individuell — bitte beim ersten Befüllen anpassen. 1,85 ist Mittelwert.</t>
        </is>
      </c>
    </row>
  </sheetData>
  <mergeCells count="4">
    <mergeCell ref="A2:F2"/>
    <mergeCell ref="A16:F16"/>
    <mergeCell ref="A1:F1"/>
    <mergeCell ref="A17:F17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</cols>
  <sheetData>
    <row r="1" ht="30" customHeight="1">
      <c r="A1" s="1" t="inlineStr">
        <is>
          <t>MASCHINENPARK — Stundensätze + Vorhaltung</t>
        </is>
      </c>
    </row>
    <row r="2">
      <c r="A2" s="2" t="inlineStr">
        <is>
          <t>Richtwerte Marktpreise 2026 — Bandbreiten für Eigentum + Miete. Firmen-spezifisch anpassen.</t>
        </is>
      </c>
    </row>
    <row r="4" ht="32" customHeight="1">
      <c r="A4" s="3" t="inlineStr">
        <is>
          <t>Maschine</t>
        </is>
      </c>
      <c r="B4" s="3" t="inlineStr">
        <is>
          <t>Größe / Typ</t>
        </is>
      </c>
      <c r="C4" s="3" t="inlineStr">
        <is>
          <t>Bediener inkl.?</t>
        </is>
      </c>
      <c r="D4" s="3" t="inlineStr">
        <is>
          <t>€ / Stunde</t>
        </is>
      </c>
      <c r="E4" s="3" t="inlineStr">
        <is>
          <t>Vorhaltung €/Tag</t>
        </is>
      </c>
      <c r="F4" s="3" t="inlineStr">
        <is>
          <t>Mindesteinsatz</t>
        </is>
      </c>
    </row>
    <row r="5">
      <c r="A5" s="11" t="inlineStr">
        <is>
          <t>Minibagger</t>
        </is>
      </c>
      <c r="B5" s="12" t="inlineStr">
        <is>
          <t>1-3 t</t>
        </is>
      </c>
      <c r="C5" s="12" t="inlineStr">
        <is>
          <t>optional</t>
        </is>
      </c>
      <c r="D5" s="13" t="inlineStr">
        <is>
          <t>35-60</t>
        </is>
      </c>
      <c r="E5" s="12" t="inlineStr">
        <is>
          <t>80-150</t>
        </is>
      </c>
      <c r="F5" s="12" t="inlineStr">
        <is>
          <t>0,5 Tag</t>
        </is>
      </c>
    </row>
    <row r="6">
      <c r="A6" s="11" t="inlineStr">
        <is>
          <t>Mobilbagger</t>
        </is>
      </c>
      <c r="B6" s="12" t="inlineStr">
        <is>
          <t>8-25 t</t>
        </is>
      </c>
      <c r="C6" s="12" t="inlineStr">
        <is>
          <t>meist ja</t>
        </is>
      </c>
      <c r="D6" s="13" t="inlineStr">
        <is>
          <t>80-180</t>
        </is>
      </c>
      <c r="E6" s="12" t="inlineStr">
        <is>
          <t>200-400</t>
        </is>
      </c>
      <c r="F6" s="12" t="inlineStr">
        <is>
          <t>1 Tag</t>
        </is>
      </c>
    </row>
    <row r="7">
      <c r="A7" s="11" t="inlineStr">
        <is>
          <t>Kettenbagger</t>
        </is>
      </c>
      <c r="B7" s="12" t="inlineStr">
        <is>
          <t>25 t+</t>
        </is>
      </c>
      <c r="C7" s="12" t="inlineStr">
        <is>
          <t>ja</t>
        </is>
      </c>
      <c r="D7" s="13" t="inlineStr">
        <is>
          <t>120-300</t>
        </is>
      </c>
      <c r="E7" s="12" t="inlineStr">
        <is>
          <t>400-800</t>
        </is>
      </c>
      <c r="F7" s="12" t="inlineStr">
        <is>
          <t>1 Tag</t>
        </is>
      </c>
    </row>
    <row r="8">
      <c r="A8" s="11" t="inlineStr">
        <is>
          <t>Radlader klein</t>
        </is>
      </c>
      <c r="B8" s="12" t="inlineStr">
        <is>
          <t>5 t</t>
        </is>
      </c>
      <c r="C8" s="12" t="inlineStr">
        <is>
          <t>optional</t>
        </is>
      </c>
      <c r="D8" s="13" t="inlineStr">
        <is>
          <t>60-90</t>
        </is>
      </c>
      <c r="E8" s="12" t="inlineStr">
        <is>
          <t>150-250</t>
        </is>
      </c>
      <c r="F8" s="12" t="inlineStr">
        <is>
          <t>0,5 Tag</t>
        </is>
      </c>
    </row>
    <row r="9">
      <c r="A9" s="11" t="inlineStr">
        <is>
          <t>Radlader mittel/groß</t>
        </is>
      </c>
      <c r="B9" s="12" t="inlineStr">
        <is>
          <t>10-20 t</t>
        </is>
      </c>
      <c r="C9" s="12" t="inlineStr">
        <is>
          <t>ja</t>
        </is>
      </c>
      <c r="D9" s="13" t="inlineStr">
        <is>
          <t>90-180</t>
        </is>
      </c>
      <c r="E9" s="12" t="inlineStr">
        <is>
          <t>250-400</t>
        </is>
      </c>
      <c r="F9" s="12" t="inlineStr">
        <is>
          <t>1 Tag</t>
        </is>
      </c>
    </row>
    <row r="10">
      <c r="A10" s="11" t="inlineStr">
        <is>
          <t>LKW 3-Achser Kipper</t>
        </is>
      </c>
      <c r="B10" s="12" t="inlineStr">
        <is>
          <t>ca. 18 t</t>
        </is>
      </c>
      <c r="C10" s="12" t="inlineStr">
        <is>
          <t>ja</t>
        </is>
      </c>
      <c r="D10" s="13" t="inlineStr">
        <is>
          <t>80-110</t>
        </is>
      </c>
      <c r="E10" s="12" t="inlineStr">
        <is>
          <t>250-350</t>
        </is>
      </c>
      <c r="F10" s="12" t="inlineStr">
        <is>
          <t>0,5 Tag</t>
        </is>
      </c>
    </row>
    <row r="11">
      <c r="A11" s="11" t="inlineStr">
        <is>
          <t>Sattelzug</t>
        </is>
      </c>
      <c r="B11" s="12" t="inlineStr">
        <is>
          <t>40 t</t>
        </is>
      </c>
      <c r="C11" s="12" t="inlineStr">
        <is>
          <t>ja</t>
        </is>
      </c>
      <c r="D11" s="13" t="inlineStr">
        <is>
          <t>90-130</t>
        </is>
      </c>
      <c r="E11" s="12" t="inlineStr">
        <is>
          <t>300-450</t>
        </is>
      </c>
      <c r="F11" s="12" t="inlineStr">
        <is>
          <t>1 Tag</t>
        </is>
      </c>
    </row>
    <row r="12">
      <c r="A12" s="11" t="inlineStr">
        <is>
          <t>Mobilkran 20-40 t</t>
        </is>
      </c>
      <c r="B12" s="12" t="inlineStr">
        <is>
          <t>Klein</t>
        </is>
      </c>
      <c r="C12" s="12" t="inlineStr">
        <is>
          <t>ja</t>
        </is>
      </c>
      <c r="D12" s="13" t="inlineStr">
        <is>
          <t>100-200</t>
        </is>
      </c>
      <c r="E12" s="12" t="inlineStr">
        <is>
          <t>300-700</t>
        </is>
      </c>
      <c r="F12" s="12" t="inlineStr">
        <is>
          <t>0,5 Tag</t>
        </is>
      </c>
    </row>
    <row r="13">
      <c r="A13" s="11" t="inlineStr">
        <is>
          <t>Mobilkran 70 t+</t>
        </is>
      </c>
      <c r="B13" s="12" t="inlineStr">
        <is>
          <t>Groß</t>
        </is>
      </c>
      <c r="C13" s="12" t="inlineStr">
        <is>
          <t>ja</t>
        </is>
      </c>
      <c r="D13" s="13" t="inlineStr">
        <is>
          <t>250-500</t>
        </is>
      </c>
      <c r="E13" s="12" t="inlineStr">
        <is>
          <t>800-1500</t>
        </is>
      </c>
      <c r="F13" s="12" t="inlineStr">
        <is>
          <t>1 Tag</t>
        </is>
      </c>
    </row>
    <row r="14">
      <c r="A14" s="11" t="inlineStr">
        <is>
          <t>Turmkran</t>
        </is>
      </c>
      <c r="B14" s="12" t="inlineStr">
        <is>
          <t>—</t>
        </is>
      </c>
      <c r="C14" s="12" t="inlineStr">
        <is>
          <t>Vorhaltung</t>
        </is>
      </c>
      <c r="D14" s="13" t="inlineStr">
        <is>
          <t>—</t>
        </is>
      </c>
      <c r="E14" s="12" t="inlineStr">
        <is>
          <t>800-1500</t>
        </is>
      </c>
      <c r="F14" s="12" t="inlineStr">
        <is>
          <t>Wochenpauschale</t>
        </is>
      </c>
    </row>
    <row r="15">
      <c r="A15" s="11" t="inlineStr">
        <is>
          <t>Betonpumpe</t>
        </is>
      </c>
      <c r="B15" s="12" t="inlineStr">
        <is>
          <t>stationär/mobil</t>
        </is>
      </c>
      <c r="C15" s="12" t="inlineStr">
        <is>
          <t>ja</t>
        </is>
      </c>
      <c r="D15" s="13" t="inlineStr">
        <is>
          <t>60-90</t>
        </is>
      </c>
      <c r="E15" s="12" t="inlineStr">
        <is>
          <t>200-400</t>
        </is>
      </c>
      <c r="F15" s="12" t="inlineStr">
        <is>
          <t>0,5 Tag</t>
        </is>
      </c>
    </row>
    <row r="16">
      <c r="A16" s="11" t="inlineStr">
        <is>
          <t>Rüttelplatte</t>
        </is>
      </c>
      <c r="B16" s="12" t="inlineStr">
        <is>
          <t>klein</t>
        </is>
      </c>
      <c r="C16" s="12" t="inlineStr">
        <is>
          <t>nein</t>
        </is>
      </c>
      <c r="D16" s="13" t="inlineStr">
        <is>
          <t>30-50</t>
        </is>
      </c>
      <c r="E16" s="12" t="inlineStr">
        <is>
          <t>40-80</t>
        </is>
      </c>
      <c r="F16" s="12" t="inlineStr">
        <is>
          <t>1 h</t>
        </is>
      </c>
    </row>
    <row r="17">
      <c r="A17" s="11" t="inlineStr">
        <is>
          <t>Walze</t>
        </is>
      </c>
      <c r="B17" s="12" t="inlineStr">
        <is>
          <t>5 t</t>
        </is>
      </c>
      <c r="C17" s="12" t="inlineStr">
        <is>
          <t>ja</t>
        </is>
      </c>
      <c r="D17" s="13" t="inlineStr">
        <is>
          <t>60-100</t>
        </is>
      </c>
      <c r="E17" s="12" t="inlineStr">
        <is>
          <t>200-400</t>
        </is>
      </c>
      <c r="F17" s="12" t="inlineStr">
        <is>
          <t>0,5 Tag</t>
        </is>
      </c>
    </row>
    <row r="18">
      <c r="A18" s="11" t="inlineStr">
        <is>
          <t>Stromaggregat</t>
        </is>
      </c>
      <c r="B18" s="12" t="inlineStr">
        <is>
          <t>—</t>
        </is>
      </c>
      <c r="C18" s="12" t="inlineStr">
        <is>
          <t>nein</t>
        </is>
      </c>
      <c r="D18" s="13" t="inlineStr">
        <is>
          <t>10-30</t>
        </is>
      </c>
      <c r="E18" s="12" t="inlineStr">
        <is>
          <t>30-60</t>
        </is>
      </c>
      <c r="F18" s="12" t="inlineStr">
        <is>
          <t>1 Tag</t>
        </is>
      </c>
    </row>
    <row r="19">
      <c r="A19" s="11" t="inlineStr">
        <is>
          <t>Mörtelmaschine</t>
        </is>
      </c>
      <c r="B19" s="12" t="inlineStr">
        <is>
          <t>—</t>
        </is>
      </c>
      <c r="C19" s="12" t="inlineStr">
        <is>
          <t>nein</t>
        </is>
      </c>
      <c r="D19" s="13" t="inlineStr">
        <is>
          <t>15-25</t>
        </is>
      </c>
      <c r="E19" s="12" t="inlineStr">
        <is>
          <t>30-50</t>
        </is>
      </c>
      <c r="F19" s="12" t="inlineStr">
        <is>
          <t>1 Tag</t>
        </is>
      </c>
    </row>
    <row r="20">
      <c r="A20" s="11" t="inlineStr">
        <is>
          <t>Werkzeug-Anteil</t>
        </is>
      </c>
      <c r="B20" s="12" t="inlineStr">
        <is>
          <t>pauschal pro AK</t>
        </is>
      </c>
      <c r="C20" s="12" t="inlineStr">
        <is>
          <t>—</t>
        </is>
      </c>
      <c r="D20" s="13" t="inlineStr">
        <is>
          <t>2-5</t>
        </is>
      </c>
      <c r="E20" s="12" t="inlineStr">
        <is>
          <t>—</t>
        </is>
      </c>
      <c r="F20" s="12" t="inlineStr">
        <is>
          <t>pro Std</t>
        </is>
      </c>
    </row>
    <row r="22">
      <c r="A22" s="10" t="inlineStr">
        <is>
          <t>Bei eigenen Maschinen: AfA + Wartung + Reparatur + Versicherung + Treibstoff einrechnen → meist Vorhaltung-Untergrenze.</t>
        </is>
      </c>
    </row>
    <row r="23">
      <c r="A23" s="10" t="inlineStr">
        <is>
          <t>Bei Mietmaschinen: An-/Abfahrt + Mindestmiet-Dauer beachten (oft 1 Tag bei kleiner Geräten, bei Großen 1 Woche).</t>
        </is>
      </c>
    </row>
  </sheetData>
  <mergeCells count="4">
    <mergeCell ref="A2:F2"/>
    <mergeCell ref="A22:F22"/>
    <mergeCell ref="A1:F1"/>
    <mergeCell ref="A23:F23"/>
  </mergeCells>
  <pageMargins left="0.4" right="0.4" top="0.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8" customWidth="1" min="4" max="4"/>
    <col width="22" customWidth="1" min="5" max="5"/>
  </cols>
  <sheetData>
    <row r="1" ht="30" customHeight="1">
      <c r="A1" s="1" t="inlineStr">
        <is>
          <t>MITTELLOHN-KALKULATION (Beispiel-Crew Rohbau)</t>
        </is>
      </c>
    </row>
    <row r="2">
      <c r="A2" s="2" t="inlineStr">
        <is>
          <t>Trag deine eigene Crew-Zusammensetzung ein — Mittellohn rechnet sich automatisch.</t>
        </is>
      </c>
    </row>
    <row r="4" ht="32" customHeight="1">
      <c r="A4" s="3" t="inlineStr">
        <is>
          <t>Position</t>
        </is>
      </c>
      <c r="B4" s="3" t="inlineStr">
        <is>
          <t>Anzahl</t>
        </is>
      </c>
      <c r="C4" s="3" t="inlineStr">
        <is>
          <t>Anteil %</t>
        </is>
      </c>
      <c r="D4" s="3" t="inlineStr">
        <is>
          <t>Vollkosten €/Std</t>
        </is>
      </c>
      <c r="E4" s="3" t="inlineStr">
        <is>
          <t>Beitrag zu Mittellohn</t>
        </is>
      </c>
    </row>
    <row r="5">
      <c r="A5" s="14" t="inlineStr">
        <is>
          <t>Geprüfter Polier (LG 6)</t>
        </is>
      </c>
      <c r="B5" s="12" t="n">
        <v>1</v>
      </c>
      <c r="C5" s="15">
        <f>B5/SUM($B$5:$B$7)*100</f>
        <v/>
      </c>
      <c r="D5" s="6" t="n">
        <v>52.73</v>
      </c>
      <c r="E5" s="16">
        <f>B5*D5/SUM($B$5:$B$7)</f>
        <v/>
      </c>
    </row>
    <row r="6">
      <c r="A6" s="14" t="inlineStr">
        <is>
          <t>Facharbeiter (LG 4)</t>
        </is>
      </c>
      <c r="B6" s="12" t="n">
        <v>4</v>
      </c>
      <c r="C6" s="15">
        <f>B6/SUM($B$5:$B$7)*100</f>
        <v/>
      </c>
      <c r="D6" s="6" t="n">
        <v>38.85</v>
      </c>
      <c r="E6" s="16">
        <f>B6*D6/SUM($B$5:$B$7)</f>
        <v/>
      </c>
    </row>
    <row r="7">
      <c r="A7" s="14" t="inlineStr">
        <is>
          <t>Hilfsarbeiter (LG 1)</t>
        </is>
      </c>
      <c r="B7" s="12" t="n">
        <v>3</v>
      </c>
      <c r="C7" s="15">
        <f>B7/SUM($B$5:$B$7)*100</f>
        <v/>
      </c>
      <c r="D7" s="6" t="n">
        <v>31.45</v>
      </c>
      <c r="E7" s="16">
        <f>B7*D7/SUM($B$5:$B$7)</f>
        <v/>
      </c>
    </row>
    <row r="8">
      <c r="A8" s="17" t="inlineStr">
        <is>
          <t>MITTELLOHN</t>
        </is>
      </c>
      <c r="B8" s="18">
        <f>SUM(B5:B7)</f>
        <v/>
      </c>
      <c r="C8" s="19" t="n"/>
      <c r="D8" s="19" t="n"/>
      <c r="E8" s="20">
        <f>SUM(E5:E7)</f>
        <v/>
      </c>
    </row>
    <row r="10">
      <c r="A10" s="10" t="inlineStr">
        <is>
          <t>→ Dieser Mittellohn wird in LV-Positionen als 'Lohnkosten pro Mannstunde' verwendet.</t>
        </is>
      </c>
    </row>
  </sheetData>
  <mergeCells count="3">
    <mergeCell ref="A2:E2"/>
    <mergeCell ref="A1:E1"/>
    <mergeCell ref="A10:E10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30" customWidth="1" min="4" max="4"/>
  </cols>
  <sheetData>
    <row r="1" ht="30" customHeight="1">
      <c r="A1" s="1" t="inlineStr">
        <is>
          <t>AUFSCHLÄGE &amp; ANGEBOTS-KALKULATION</t>
        </is>
      </c>
    </row>
    <row r="2">
      <c r="A2" s="2" t="inlineStr">
        <is>
          <t>Von Selbstkosten zur Angebotssumme — Beispiel-Rechnung. Trag deine Firmen-Aufschläge ein.</t>
        </is>
      </c>
    </row>
    <row r="4" ht="32" customHeight="1">
      <c r="A4" s="3" t="inlineStr">
        <is>
          <t>Position</t>
        </is>
      </c>
      <c r="B4" s="3" t="inlineStr">
        <is>
          <t>Wert €</t>
        </is>
      </c>
      <c r="C4" s="3" t="inlineStr">
        <is>
          <t>Faktor / %</t>
        </is>
      </c>
      <c r="D4" s="3" t="inlineStr">
        <is>
          <t>Bemerkung</t>
        </is>
      </c>
    </row>
    <row r="5">
      <c r="A5" s="14" t="inlineStr">
        <is>
          <t>Selbstkosten (Material + Lohn + Maschine)</t>
        </is>
      </c>
      <c r="B5" s="21" t="n">
        <v>10000</v>
      </c>
      <c r="C5" s="12" t="inlineStr">
        <is>
          <t>—</t>
        </is>
      </c>
      <c r="D5" s="22" t="inlineStr">
        <is>
          <t>Summe aus LV-Positionen</t>
        </is>
      </c>
    </row>
    <row r="6">
      <c r="A6" s="14" t="inlineStr">
        <is>
          <t>+ AGK (Allgemeine Geschäftskosten)</t>
        </is>
      </c>
      <c r="B6" s="21">
        <f>B5*C6</f>
        <v/>
      </c>
      <c r="C6" s="23" t="n">
        <v>0.1</v>
      </c>
      <c r="D6" s="22" t="inlineStr">
        <is>
          <t>üblich 8–15 %</t>
        </is>
      </c>
    </row>
    <row r="7">
      <c r="A7" s="11" t="inlineStr">
        <is>
          <t>Zwischensumme</t>
        </is>
      </c>
      <c r="B7" s="21">
        <f>B5+B6</f>
        <v/>
      </c>
      <c r="C7" s="12" t="inlineStr">
        <is>
          <t>—</t>
        </is>
      </c>
      <c r="D7" s="22" t="inlineStr"/>
    </row>
    <row r="8">
      <c r="A8" s="14" t="inlineStr">
        <is>
          <t>+ Wagnis &amp; Gewinn</t>
        </is>
      </c>
      <c r="B8" s="21">
        <f>B7*C8</f>
        <v/>
      </c>
      <c r="C8" s="23" t="n">
        <v>0.08</v>
      </c>
      <c r="D8" s="22" t="inlineStr">
        <is>
          <t>üblich 5–10 %</t>
        </is>
      </c>
    </row>
    <row r="9">
      <c r="A9" s="11" t="inlineStr">
        <is>
          <t>Zwischensumme netto</t>
        </is>
      </c>
      <c r="B9" s="21">
        <f>B7+B8</f>
        <v/>
      </c>
      <c r="C9" s="12" t="inlineStr">
        <is>
          <t>—</t>
        </is>
      </c>
      <c r="D9" s="22" t="inlineStr"/>
    </row>
    <row r="10">
      <c r="A10" s="14" t="inlineStr">
        <is>
          <t>+ Skonto-/Nachlass-Reserve</t>
        </is>
      </c>
      <c r="B10" s="21">
        <f>B9*C10</f>
        <v/>
      </c>
      <c r="C10" s="23" t="n">
        <v>0.025</v>
      </c>
      <c r="D10" s="22" t="inlineStr">
        <is>
          <t>2–3 %</t>
        </is>
      </c>
    </row>
    <row r="11">
      <c r="A11" s="11" t="inlineStr">
        <is>
          <t>Angebotssumme netto</t>
        </is>
      </c>
      <c r="B11" s="21">
        <f>B9+B10</f>
        <v/>
      </c>
      <c r="C11" s="12" t="inlineStr">
        <is>
          <t>—</t>
        </is>
      </c>
      <c r="D11" s="22" t="inlineStr"/>
    </row>
    <row r="12">
      <c r="A12" s="14" t="inlineStr">
        <is>
          <t>+ MwSt</t>
        </is>
      </c>
      <c r="B12" s="21">
        <f>B11*C12</f>
        <v/>
      </c>
      <c r="C12" s="23" t="n">
        <v>0.19</v>
      </c>
      <c r="D12" s="22" t="inlineStr">
        <is>
          <t>19 %</t>
        </is>
      </c>
    </row>
    <row r="13">
      <c r="A13" s="24" t="inlineStr">
        <is>
          <t>ANGEBOTSSUMME BRUTTO</t>
        </is>
      </c>
      <c r="B13" s="25">
        <f>B11+B12</f>
        <v/>
      </c>
      <c r="C13" s="26" t="inlineStr">
        <is>
          <t>—</t>
        </is>
      </c>
      <c r="D13" s="24" t="inlineStr">
        <is>
          <t>→ an Kunde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2026-06-07T15:04:57Z</dcterms:created>
  <dcterms:modified xsi:type="dcterms:W3CDTF">2026-06-07T15:04:57Z</dcterms:modified>
</cp:coreProperties>
</file>